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nkara Grum\Desktop\Matrices\"/>
    </mc:Choice>
  </mc:AlternateContent>
  <xr:revisionPtr revIDLastSave="0" documentId="13_ncr:1_{E6701D88-BA96-4138-BFF9-DFFE0EFF5BEF}" xr6:coauthVersionLast="47" xr6:coauthVersionMax="47" xr10:uidLastSave="{00000000-0000-0000-0000-000000000000}"/>
  <bookViews>
    <workbookView xWindow="-108" yWindow="-108" windowWidth="23256" windowHeight="12456" xr2:uid="{DE751454-BF24-489A-8FD5-2D44E642AE01}"/>
  </bookViews>
  <sheets>
    <sheet name="Lis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4" l="1"/>
  <c r="E14" i="4"/>
  <c r="E5" i="4"/>
  <c r="E4" i="4"/>
  <c r="E6" i="4"/>
  <c r="E3" i="4"/>
  <c r="E2" i="4"/>
  <c r="D19" i="4"/>
  <c r="D20" i="4"/>
  <c r="E20" i="4" s="1"/>
  <c r="D21" i="4"/>
  <c r="E21" i="4" s="1"/>
  <c r="D22" i="4"/>
  <c r="E22" i="4" s="1"/>
  <c r="D13" i="4"/>
  <c r="D15" i="4"/>
  <c r="E15" i="4" s="1"/>
  <c r="D16" i="4"/>
  <c r="E16" i="4" s="1"/>
  <c r="E7" i="4"/>
  <c r="E8" i="4"/>
  <c r="E9" i="4"/>
  <c r="E10" i="4"/>
</calcChain>
</file>

<file path=xl/sharedStrings.xml><?xml version="1.0" encoding="utf-8"?>
<sst xmlns="http://schemas.openxmlformats.org/spreadsheetml/2006/main" count="24" uniqueCount="9">
  <si>
    <t>Implementacija</t>
  </si>
  <si>
    <t>Procesi</t>
  </si>
  <si>
    <t>Povp. čas (s)</t>
  </si>
  <si>
    <t>Std</t>
  </si>
  <si>
    <t>Serial NumPy</t>
  </si>
  <si>
    <t>MPI NumPy</t>
  </si>
  <si>
    <t>MPI + Numba</t>
  </si>
  <si>
    <t>Pospešek</t>
  </si>
  <si>
    <t>Karp-Flatt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</si>
</sst>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6" x14ac:knownFonts="1">
    <font>
      <sz val="11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2" fontId="1" fillId="0" borderId="0" xfId="0" applyNumberFormat="1" applyFont="1" applyAlignment="1">
      <alignment horizontal="center"/>
    </xf>
    <xf numFmtId="2" fontId="1" fillId="0" borderId="0" xfId="1" applyNumberFormat="1" applyFont="1" applyAlignment="1">
      <alignment horizontal="center"/>
    </xf>
    <xf numFmtId="1" fontId="1" fillId="0" borderId="0" xfId="0" applyNumberFormat="1" applyFont="1"/>
    <xf numFmtId="0" fontId="0" fillId="0" borderId="2" xfId="0" applyBorder="1"/>
    <xf numFmtId="0" fontId="4" fillId="0" borderId="3" xfId="0" applyFont="1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2">
    <cellStyle name="Navadno" xfId="0" builtinId="0"/>
    <cellStyle name="Vejica" xfId="1" builtinId="3"/>
  </cellStyles>
  <dxfs count="2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sz val="12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numFmt numFmtId="164" formatCode="0.00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</dxf>
    <dxf>
      <numFmt numFmtId="0" formatCode="General"/>
      <alignment horizontal="center" vertical="bottom" textRotation="0" wrapText="0" indent="0" justifyLastLine="0" shrinkToFit="0" readingOrder="0"/>
    </dxf>
    <dxf>
      <font>
        <sz val="12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numFmt numFmtId="164" formatCode="0.00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397163-D19C-4FDF-B546-2D7B3D5639CA}" name="Tabela4" displayName="Tabela4" ref="A1:E10" totalsRowShown="0" headerRowDxfId="23" dataDxfId="22">
  <autoFilter ref="A1:E10" xr:uid="{39397163-D19C-4FDF-B546-2D7B3D5639C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457E7D8-6F4D-46A4-8476-7E715A4D3361}" name="Implementacija" dataDxfId="21"/>
    <tableColumn id="2" xr3:uid="{25D919FC-6D09-403C-A741-18F023BD94AA}" name="Procesi" dataDxfId="20"/>
    <tableColumn id="3" xr3:uid="{6400051F-5280-4B82-8E68-2A6F527FA9FF}" name="Povp. čas (s)" dataDxfId="19"/>
    <tableColumn id="4" xr3:uid="{1CC98EA6-2A82-48A9-9CD8-5AF9F0AAA1D0}" name="Std" dataDxfId="18"/>
    <tableColumn id="5" xr3:uid="{309693ED-6B99-4CA4-B2BC-1BCBC926AD38}" name="Pospešek" dataDxfId="17">
      <calculatedColumnFormula>$C$2/C2</calculatedColumnFormula>
    </tableColumn>
  </tableColumns>
  <tableStyleInfo name="TableStyleLight1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CEE73B-FDD6-46AF-957C-0E9E4FFC02E1}" name="Tabela1" displayName="Tabela1" ref="B12:E16" totalsRowShown="0" headerRowDxfId="16" headerRowBorderDxfId="15" tableBorderDxfId="14">
  <autoFilter ref="B12:E16" xr:uid="{7ECEE73B-FDD6-46AF-957C-0E9E4FFC02E1}">
    <filterColumn colId="0" hiddenButton="1"/>
    <filterColumn colId="1" hiddenButton="1"/>
    <filterColumn colId="2" hiddenButton="1"/>
    <filterColumn colId="3" hiddenButton="1"/>
  </autoFilter>
  <tableColumns count="4">
    <tableColumn id="2" xr3:uid="{78F67409-9A7B-4B60-9344-F20B9CEF48C7}" name="Procesi" dataDxfId="13"/>
    <tableColumn id="3" xr3:uid="{9137B47B-25F2-49DE-99F5-C781864D46C5}" name="Povp. čas (s)" dataDxfId="12"/>
    <tableColumn id="5" xr3:uid="{E27FBCD2-E24F-4470-830A-5893A09ED653}" name="Pospešek" dataDxfId="11">
      <calculatedColumnFormula>$C$13/C13</calculatedColumnFormula>
    </tableColumn>
    <tableColumn id="1" xr3:uid="{8F304DDA-A388-4688-9E7A-DF5CCB08E18A}" name="Karp-Flatt" dataDxfId="10">
      <calculatedColumnFormula>((1/Tabela1[[#This Row],[Povp. čas (s)]])-(1/Tabela1[[#This Row],[Procesi]]))/(1-(1/Tabela1[[#This Row],[Procesi]]))</calculatedColumnFormula>
    </tableColumn>
  </tableColumns>
  <tableStyleInfo name="TableStyleLight1" showFirstColumn="0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90F442-CB02-40C9-BAA1-318AD1B82DC7}" name="Tabela14" displayName="Tabela14" ref="B18:E22" headerRowDxfId="9" headerRowBorderDxfId="8" tableBorderDxfId="7">
  <autoFilter ref="B18:E22" xr:uid="{5D90F442-CB02-40C9-BAA1-318AD1B82DC7}">
    <filterColumn colId="0" hiddenButton="1"/>
    <filterColumn colId="1" hiddenButton="1"/>
    <filterColumn colId="2" hiddenButton="1"/>
    <filterColumn colId="3" hiddenButton="1"/>
  </autoFilter>
  <tableColumns count="4">
    <tableColumn id="2" xr3:uid="{6F2E5079-0E2F-4865-AE69-342E49AA8536}" name="Procesi" totalsRowLabel="Vsota" dataDxfId="6" totalsRowDxfId="5"/>
    <tableColumn id="3" xr3:uid="{082E9C4A-29D0-4109-8C2F-2B91E2EA34C2}" name="Povp. čas (s)" dataDxfId="4" totalsRowDxfId="3"/>
    <tableColumn id="5" xr3:uid="{125881AE-9003-4754-A430-05498EE1C59F}" name="Pospešek" totalsRowFunction="count" dataDxfId="2" totalsRowDxfId="1">
      <calculatedColumnFormula>$C$19/C19</calculatedColumnFormula>
    </tableColumn>
    <tableColumn id="1" xr3:uid="{58BB6CD2-401B-4080-B6E5-7DEB44F12B61}" name="Karp-Flatt" dataDxfId="0">
      <calculatedColumnFormula>((1/Tabela14[[#This Row],[Pospešek]])-(1/Tabela14[[#This Row],[Procesi]]))/(1-(1/Tabela14[[#This Row],[Procesi]]))</calculatedColumnFormula>
    </tableColumn>
  </tableColumns>
  <tableStyleInfo name="TableStyleLight1" showFirstColumn="0" showLastColumn="1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AB69-8630-4F42-96C0-B265B4C8A7EA}">
  <dimension ref="A1:F23"/>
  <sheetViews>
    <sheetView tabSelected="1" workbookViewId="0">
      <selection sqref="A1:E22"/>
    </sheetView>
  </sheetViews>
  <sheetFormatPr defaultRowHeight="14.4" x14ac:dyDescent="0.3"/>
  <cols>
    <col min="1" max="1" width="17.77734375" bestFit="1" customWidth="1"/>
    <col min="2" max="2" width="10.109375" bestFit="1" customWidth="1"/>
    <col min="3" max="3" width="14.77734375" bestFit="1" customWidth="1"/>
    <col min="4" max="4" width="9.33203125" bestFit="1" customWidth="1"/>
    <col min="5" max="5" width="12.109375" bestFit="1" customWidth="1"/>
    <col min="6" max="6" width="12.109375" customWidth="1"/>
    <col min="7" max="7" width="13.5546875" customWidth="1"/>
    <col min="8" max="8" width="10.109375" bestFit="1" customWidth="1"/>
    <col min="9" max="9" width="14.77734375" bestFit="1" customWidth="1"/>
    <col min="10" max="10" width="12.109375" bestFit="1" customWidth="1"/>
    <col min="11" max="11" width="11.777343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/>
    </row>
    <row r="2" spans="1:6" ht="15.6" x14ac:dyDescent="0.3">
      <c r="A2" s="1" t="s">
        <v>4</v>
      </c>
      <c r="B2" s="6">
        <v>1</v>
      </c>
      <c r="C2" s="11">
        <v>32.524000000000001</v>
      </c>
      <c r="D2" s="11">
        <v>1.073</v>
      </c>
      <c r="E2" s="5">
        <f>$C$2/C2</f>
        <v>1</v>
      </c>
      <c r="F2" s="2"/>
    </row>
    <row r="3" spans="1:6" ht="15.6" x14ac:dyDescent="0.3">
      <c r="A3" s="1" t="s">
        <v>5</v>
      </c>
      <c r="B3" s="6">
        <v>1</v>
      </c>
      <c r="C3" s="11">
        <v>32.476999999999997</v>
      </c>
      <c r="D3" s="11">
        <v>0.46779999999999999</v>
      </c>
      <c r="E3" s="5">
        <f>$C$2/C3</f>
        <v>1.0014471780028944</v>
      </c>
      <c r="F3" s="1"/>
    </row>
    <row r="4" spans="1:6" ht="15.6" x14ac:dyDescent="0.3">
      <c r="A4" s="1" t="s">
        <v>5</v>
      </c>
      <c r="B4" s="6">
        <v>2</v>
      </c>
      <c r="C4" s="11">
        <v>16.90915</v>
      </c>
      <c r="D4" s="11">
        <v>0.239151</v>
      </c>
      <c r="E4" s="5">
        <f>$C$2/C4</f>
        <v>1.9234556438378039</v>
      </c>
      <c r="F4" s="1"/>
    </row>
    <row r="5" spans="1:6" ht="15.6" x14ac:dyDescent="0.3">
      <c r="A5" s="1" t="s">
        <v>5</v>
      </c>
      <c r="B5" s="6">
        <v>4</v>
      </c>
      <c r="C5" s="11">
        <v>11.961574000000001</v>
      </c>
      <c r="D5" s="11">
        <v>0.17684900000000001</v>
      </c>
      <c r="E5" s="5">
        <f>$C$2/C5</f>
        <v>2.7190401530768442</v>
      </c>
      <c r="F5" s="1"/>
    </row>
    <row r="6" spans="1:6" ht="15.6" x14ac:dyDescent="0.3">
      <c r="A6" s="1" t="s">
        <v>5</v>
      </c>
      <c r="B6" s="6">
        <v>8</v>
      </c>
      <c r="C6" s="11">
        <v>15.112301</v>
      </c>
      <c r="D6" s="11">
        <v>0.61867099999999997</v>
      </c>
      <c r="E6" s="5">
        <f>$C$2/C6</f>
        <v>2.1521540631039575</v>
      </c>
      <c r="F6" s="1"/>
    </row>
    <row r="7" spans="1:6" ht="15.6" x14ac:dyDescent="0.3">
      <c r="A7" s="1" t="s">
        <v>6</v>
      </c>
      <c r="B7" s="6">
        <v>1</v>
      </c>
      <c r="C7" s="11">
        <v>401.35839900000002</v>
      </c>
      <c r="D7" s="11">
        <v>1.93032</v>
      </c>
      <c r="E7" s="5">
        <f>$C$2/C7</f>
        <v>8.1034806001406237E-2</v>
      </c>
      <c r="F7" s="1"/>
    </row>
    <row r="8" spans="1:6" ht="15.6" x14ac:dyDescent="0.3">
      <c r="A8" s="1" t="s">
        <v>6</v>
      </c>
      <c r="B8" s="6">
        <v>2</v>
      </c>
      <c r="C8" s="11">
        <v>205.73669000000001</v>
      </c>
      <c r="D8" s="11">
        <v>1.031396</v>
      </c>
      <c r="E8" s="5">
        <f>$C$2/C8</f>
        <v>0.15808556072327207</v>
      </c>
      <c r="F8" s="1"/>
    </row>
    <row r="9" spans="1:6" ht="15.6" x14ac:dyDescent="0.3">
      <c r="A9" s="1" t="s">
        <v>6</v>
      </c>
      <c r="B9" s="6">
        <v>4</v>
      </c>
      <c r="C9" s="11">
        <v>107.287023</v>
      </c>
      <c r="D9" s="11">
        <v>0.54747800000000002</v>
      </c>
      <c r="E9" s="5">
        <f>$C$2/C9</f>
        <v>0.3031494312224508</v>
      </c>
      <c r="F9" s="1"/>
    </row>
    <row r="10" spans="1:6" ht="15.6" x14ac:dyDescent="0.3">
      <c r="A10" s="1" t="s">
        <v>6</v>
      </c>
      <c r="B10" s="6">
        <v>8</v>
      </c>
      <c r="C10" s="11">
        <v>101.35923099999999</v>
      </c>
      <c r="D10" s="11">
        <v>7.5154399999999999</v>
      </c>
      <c r="E10" s="5">
        <f>$C$2/C10</f>
        <v>0.32087851968805881</v>
      </c>
      <c r="F10" s="1"/>
    </row>
    <row r="12" spans="1:6" ht="15.6" x14ac:dyDescent="0.3">
      <c r="A12" s="8" t="s">
        <v>5</v>
      </c>
      <c r="B12" s="3" t="s">
        <v>1</v>
      </c>
      <c r="C12" s="3" t="s">
        <v>2</v>
      </c>
      <c r="D12" s="3" t="s">
        <v>7</v>
      </c>
      <c r="E12" s="3" t="s">
        <v>8</v>
      </c>
    </row>
    <row r="13" spans="1:6" ht="15.6" x14ac:dyDescent="0.3">
      <c r="A13" s="7"/>
      <c r="B13" s="6">
        <v>1</v>
      </c>
      <c r="C13" s="11">
        <v>32.476999999999997</v>
      </c>
      <c r="D13" s="4">
        <f>$C$13/C13</f>
        <v>1</v>
      </c>
      <c r="E13" s="9"/>
    </row>
    <row r="14" spans="1:6" ht="15.6" x14ac:dyDescent="0.3">
      <c r="A14" s="7"/>
      <c r="B14" s="6">
        <v>2</v>
      </c>
      <c r="C14" s="11">
        <v>16.90915</v>
      </c>
      <c r="D14" s="4">
        <f>$C$13/C14</f>
        <v>1.9206760836588472</v>
      </c>
      <c r="E14" s="10">
        <f>((1/Tabela1[[#This Row],[Pospešek]])-(1/Tabela1[[#This Row],[Procesi]]))/(1-(1/Tabela1[[#This Row],[Procesi]]))</f>
        <v>4.129999692089803E-2</v>
      </c>
    </row>
    <row r="15" spans="1:6" ht="15.6" x14ac:dyDescent="0.3">
      <c r="A15" s="7"/>
      <c r="B15" s="6">
        <v>4</v>
      </c>
      <c r="C15" s="11">
        <v>11.961574000000001</v>
      </c>
      <c r="D15" s="4">
        <f>$C$13/C15</f>
        <v>2.7151109043007211</v>
      </c>
      <c r="E15" s="10">
        <f>((1/Tabela1[[#This Row],[Pospešek]])-(1/Tabela1[[#This Row],[Procesi]]))/(1-(1/Tabela1[[#This Row],[Procesi]]))</f>
        <v>0.15774544036292362</v>
      </c>
    </row>
    <row r="16" spans="1:6" ht="15.6" x14ac:dyDescent="0.3">
      <c r="A16" s="7"/>
      <c r="B16" s="6">
        <v>8</v>
      </c>
      <c r="C16" s="11">
        <v>15.112301</v>
      </c>
      <c r="D16" s="4">
        <f>$C$13/C16</f>
        <v>2.1490440138798186</v>
      </c>
      <c r="E16" s="10">
        <f>((1/Tabela1[[#This Row],[Pospešek]])-(1/Tabela1[[#This Row],[Procesi]]))/(1-(1/Tabela1[[#This Row],[Procesi]]))</f>
        <v>0.38894078006853211</v>
      </c>
    </row>
    <row r="18" spans="1:5" ht="15.6" x14ac:dyDescent="0.3">
      <c r="A18" s="8" t="s">
        <v>6</v>
      </c>
      <c r="B18" s="3" t="s">
        <v>1</v>
      </c>
      <c r="C18" s="3" t="s">
        <v>2</v>
      </c>
      <c r="D18" s="3" t="s">
        <v>7</v>
      </c>
      <c r="E18" s="3" t="s">
        <v>8</v>
      </c>
    </row>
    <row r="19" spans="1:5" ht="15.6" x14ac:dyDescent="0.3">
      <c r="A19" s="7"/>
      <c r="B19" s="6">
        <v>1</v>
      </c>
      <c r="C19" s="11">
        <v>401.35839900000002</v>
      </c>
      <c r="D19" s="4">
        <f>$C$19/C19</f>
        <v>1</v>
      </c>
    </row>
    <row r="20" spans="1:5" ht="15.6" x14ac:dyDescent="0.3">
      <c r="A20" s="7"/>
      <c r="B20" s="6">
        <v>2</v>
      </c>
      <c r="C20" s="11">
        <v>205.73669000000001</v>
      </c>
      <c r="D20" s="4">
        <f>$C$19/C20</f>
        <v>1.9508353079851728</v>
      </c>
      <c r="E20" s="10">
        <f>((1/Tabela14[[#This Row],[Pospešek]])-(1/Tabela14[[#This Row],[Procesi]]))/(1-(1/Tabela14[[#This Row],[Procesi]]))</f>
        <v>2.520186702259597E-2</v>
      </c>
    </row>
    <row r="21" spans="1:5" ht="15.6" x14ac:dyDescent="0.3">
      <c r="A21" s="7"/>
      <c r="B21" s="6">
        <v>4</v>
      </c>
      <c r="C21" s="11">
        <v>107.287023</v>
      </c>
      <c r="D21" s="4">
        <f>$C$19/C21</f>
        <v>3.7409780584554015</v>
      </c>
      <c r="E21" s="10">
        <f>((1/Tabela14[[#This Row],[Pospešek]])-(1/Tabela14[[#This Row],[Procesi]]))/(1-(1/Tabela14[[#This Row],[Procesi]]))</f>
        <v>2.3079698900234053E-2</v>
      </c>
    </row>
    <row r="22" spans="1:5" ht="15.6" x14ac:dyDescent="0.3">
      <c r="A22" s="7"/>
      <c r="B22" s="6">
        <v>8</v>
      </c>
      <c r="C22" s="11">
        <v>101.35923099999999</v>
      </c>
      <c r="D22" s="4">
        <f>$C$19/C22</f>
        <v>3.9597616816962633</v>
      </c>
      <c r="E22" s="10">
        <f>((1/Tabela14[[#This Row],[Pospešek]])-(1/Tabela14[[#This Row],[Procesi]]))/(1-(1/Tabela14[[#This Row],[Procesi]]))</f>
        <v>0.14576051515493513</v>
      </c>
    </row>
    <row r="23" spans="1:5" ht="15.6" x14ac:dyDescent="0.3">
      <c r="C23" s="2"/>
    </row>
  </sheetData>
  <phoneticPr fontId="5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Blaž Bele</dc:creator>
  <cp:lastModifiedBy>Blaž Bele</cp:lastModifiedBy>
  <dcterms:created xsi:type="dcterms:W3CDTF">2026-05-20T20:03:39Z</dcterms:created>
  <dcterms:modified xsi:type="dcterms:W3CDTF">2026-05-27T20:22:42Z</dcterms:modified>
</cp:coreProperties>
</file>